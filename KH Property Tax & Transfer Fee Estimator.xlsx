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4786266-6492-4A13-9910-7A30F0F0C849}" xr6:coauthVersionLast="47" xr6:coauthVersionMax="47" xr10:uidLastSave="{00000000-0000-0000-0000-000000000000}"/>
  <bookViews>
    <workbookView xWindow="-120" yWindow="-120" windowWidth="29040" windowHeight="15720" xr2:uid="{70D67A60-14B0-4BD1-95BB-F621B0E00231}"/>
  </bookViews>
  <sheets>
    <sheet name="Tax &amp; Penalty Work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G4" i="2"/>
  <c r="G31" i="2"/>
  <c r="F30" i="2"/>
  <c r="F29" i="2"/>
  <c r="C30" i="2"/>
  <c r="C29" i="2"/>
  <c r="E5" i="2"/>
  <c r="E4" i="2"/>
  <c r="I5" i="2"/>
  <c r="E26" i="2"/>
  <c r="G26" i="2" s="1"/>
  <c r="E13" i="2"/>
  <c r="E17" i="2"/>
  <c r="E16" i="2"/>
  <c r="E15" i="2"/>
  <c r="E14" i="2"/>
  <c r="E9" i="2"/>
  <c r="E6" i="2"/>
  <c r="E7" i="2"/>
  <c r="E8" i="2"/>
  <c r="E10" i="2" l="1"/>
  <c r="G10" i="2" s="1"/>
  <c r="I4" i="2" s="1"/>
  <c r="I10" i="2" s="1"/>
  <c r="E18" i="2"/>
  <c r="G13" i="2" s="1"/>
  <c r="I13" i="2" l="1"/>
  <c r="I18" i="2" s="1"/>
  <c r="K13" i="2" s="1"/>
  <c r="K18" i="2" s="1"/>
  <c r="G18" i="2"/>
  <c r="K4" i="2" l="1"/>
  <c r="C22" i="2"/>
  <c r="F22" i="2" s="1"/>
  <c r="C21" i="2"/>
  <c r="F21" i="2" s="1"/>
  <c r="G23" i="2" l="1"/>
</calcChain>
</file>

<file path=xl/sharedStrings.xml><?xml version="1.0" encoding="utf-8"?>
<sst xmlns="http://schemas.openxmlformats.org/spreadsheetml/2006/main" count="59" uniqueCount="31">
  <si>
    <t>LAND</t>
  </si>
  <si>
    <t>E0</t>
  </si>
  <si>
    <t>E1</t>
  </si>
  <si>
    <t>E2</t>
  </si>
  <si>
    <t>E3</t>
  </si>
  <si>
    <t>PUBLIC FEE</t>
  </si>
  <si>
    <t>PROPERTY TAX</t>
  </si>
  <si>
    <t>TRANSFER TAX RATE</t>
  </si>
  <si>
    <t>Sub Total</t>
  </si>
  <si>
    <t>Grand Total</t>
  </si>
  <si>
    <t>land size/square meter</t>
  </si>
  <si>
    <t>Calculate 80% of the value</t>
  </si>
  <si>
    <t>Grand total</t>
  </si>
  <si>
    <t>Subtract the exemption</t>
  </si>
  <si>
    <t>Sub total</t>
  </si>
  <si>
    <t>ANNUAL TAX RATE</t>
  </si>
  <si>
    <t>TRANSFER TAX</t>
  </si>
  <si>
    <t>UNUSED LAND TAX</t>
  </si>
  <si>
    <t>Price/square meter</t>
  </si>
  <si>
    <t>Tax rate (2%)</t>
  </si>
  <si>
    <t>ករណីចុះបញ្ជីដំបូង (150,000)</t>
  </si>
  <si>
    <t>Monthly Interest (1.5% per month)</t>
  </si>
  <si>
    <t>Additional Tax (10%)</t>
  </si>
  <si>
    <t>Additional Tax &amp; Monthly Interest</t>
  </si>
  <si>
    <t>Base Rate</t>
  </si>
  <si>
    <t>Number of month not paid</t>
  </si>
  <si>
    <t>Total Amount Due</t>
  </si>
  <si>
    <t>Rate</t>
  </si>
  <si>
    <t>LAND1</t>
  </si>
  <si>
    <t>KH Property Tax &amp; Transfer Fee Estimator</t>
  </si>
  <si>
    <t>GRAND TOTAL (1+3+5)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</si>
</sst>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"/>
    <numFmt numFmtId="167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 val="doubleAccounting"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64" fontId="0" fillId="0" borderId="1" xfId="1" applyNumberFormat="1" applyFont="1" applyBorder="1"/>
    <xf numFmtId="9" fontId="0" fillId="0" borderId="0" xfId="0" applyNumberFormat="1"/>
    <xf numFmtId="9" fontId="0" fillId="0" borderId="1" xfId="0" applyNumberFormat="1" applyBorder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1" xfId="0" applyNumberFormat="1" applyFont="1" applyBorder="1"/>
    <xf numFmtId="165" fontId="3" fillId="0" borderId="0" xfId="2" applyNumberFormat="1" applyFont="1"/>
    <xf numFmtId="164" fontId="2" fillId="0" borderId="0" xfId="0" applyNumberFormat="1" applyFont="1"/>
    <xf numFmtId="165" fontId="4" fillId="0" borderId="0" xfId="0" applyNumberFormat="1" applyFont="1"/>
    <xf numFmtId="0" fontId="3" fillId="0" borderId="1" xfId="0" applyFont="1" applyBorder="1"/>
    <xf numFmtId="9" fontId="0" fillId="0" borderId="0" xfId="3" applyFont="1"/>
    <xf numFmtId="165" fontId="0" fillId="0" borderId="0" xfId="0" applyNumberFormat="1"/>
    <xf numFmtId="164" fontId="2" fillId="0" borderId="0" xfId="1" applyNumberFormat="1" applyFont="1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1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 applyAlignment="1">
      <alignment horizontal="right"/>
    </xf>
    <xf numFmtId="164" fontId="0" fillId="0" borderId="1" xfId="0" applyNumberFormat="1" applyBorder="1"/>
    <xf numFmtId="165" fontId="3" fillId="0" borderId="0" xfId="0" applyNumberFormat="1" applyFont="1"/>
    <xf numFmtId="167" fontId="0" fillId="0" borderId="0" xfId="0" applyNumberFormat="1"/>
    <xf numFmtId="167" fontId="0" fillId="0" borderId="1" xfId="0" applyNumberFormat="1" applyBorder="1"/>
    <xf numFmtId="0" fontId="5" fillId="0" borderId="0" xfId="0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FABB-3561-4FA8-ADFB-934ECE338109}">
  <dimension ref="A1:K33"/>
  <sheetViews>
    <sheetView tabSelected="1" workbookViewId="0">
      <selection activeCell="B34" sqref="B34"/>
    </sheetView>
  </sheetViews>
  <sheetFormatPr defaultRowHeight="15" x14ac:dyDescent="0.25"/>
  <cols>
    <col min="1" max="1" width="4.7109375" customWidth="1"/>
    <col min="2" max="2" width="30.42578125" customWidth="1"/>
    <col min="3" max="3" width="23" customWidth="1"/>
    <col min="4" max="4" width="20.85546875" customWidth="1"/>
    <col min="5" max="6" width="26.42578125" customWidth="1"/>
    <col min="7" max="7" width="24.28515625" customWidth="1"/>
    <col min="8" max="8" width="27.5703125" customWidth="1"/>
    <col min="9" max="9" width="18.7109375" customWidth="1"/>
    <col min="10" max="10" width="18.42578125" customWidth="1"/>
    <col min="11" max="11" width="12" customWidth="1"/>
  </cols>
  <sheetData>
    <row r="1" spans="1:11" ht="18.75" x14ac:dyDescent="0.3">
      <c r="B1" s="30" t="s">
        <v>29</v>
      </c>
    </row>
    <row r="2" spans="1:11" x14ac:dyDescent="0.25">
      <c r="F2" s="19" t="s">
        <v>20</v>
      </c>
    </row>
    <row r="3" spans="1:11" s="3" customFormat="1" x14ac:dyDescent="0.25">
      <c r="A3" s="10">
        <v>1</v>
      </c>
      <c r="B3" s="5" t="s">
        <v>16</v>
      </c>
      <c r="C3" s="5" t="s">
        <v>10</v>
      </c>
      <c r="D3" s="5" t="s">
        <v>18</v>
      </c>
      <c r="E3" s="5" t="s">
        <v>8</v>
      </c>
      <c r="F3" s="16" t="s">
        <v>13</v>
      </c>
      <c r="G3" s="5" t="s">
        <v>14</v>
      </c>
      <c r="H3" s="5" t="s">
        <v>7</v>
      </c>
      <c r="I3" s="5" t="s">
        <v>8</v>
      </c>
      <c r="J3" s="5" t="s">
        <v>5</v>
      </c>
      <c r="K3" s="5" t="s">
        <v>9</v>
      </c>
    </row>
    <row r="4" spans="1:11" x14ac:dyDescent="0.25">
      <c r="A4">
        <v>1.1000000000000001</v>
      </c>
      <c r="B4" t="s">
        <v>28</v>
      </c>
      <c r="C4">
        <v>300</v>
      </c>
      <c r="D4">
        <v>450</v>
      </c>
      <c r="E4" s="1">
        <f>C4*D4</f>
        <v>135000</v>
      </c>
      <c r="F4" s="1">
        <v>150000</v>
      </c>
      <c r="G4" s="1">
        <f>E10-F4</f>
        <v>133200</v>
      </c>
      <c r="H4" s="17">
        <v>0.04</v>
      </c>
      <c r="I4" s="2">
        <f>G10*H4</f>
        <v>5328</v>
      </c>
      <c r="J4">
        <v>100</v>
      </c>
      <c r="K4" s="18">
        <f>I10+J4</f>
        <v>5428</v>
      </c>
    </row>
    <row r="5" spans="1:11" x14ac:dyDescent="0.25">
      <c r="A5">
        <v>1.2</v>
      </c>
      <c r="B5" t="s">
        <v>28</v>
      </c>
      <c r="C5">
        <v>700</v>
      </c>
      <c r="D5">
        <v>150</v>
      </c>
      <c r="E5" s="1">
        <f>C5*D5</f>
        <v>105000</v>
      </c>
      <c r="F5" s="1"/>
      <c r="G5" s="1"/>
      <c r="H5" s="17"/>
      <c r="I5" s="2">
        <f>G11*H5</f>
        <v>0</v>
      </c>
      <c r="K5" s="18"/>
    </row>
    <row r="6" spans="1:11" x14ac:dyDescent="0.25">
      <c r="A6">
        <v>1.3</v>
      </c>
      <c r="B6" t="s">
        <v>1</v>
      </c>
      <c r="C6">
        <v>72</v>
      </c>
      <c r="D6">
        <v>250</v>
      </c>
      <c r="E6" s="1">
        <f>C6*D6</f>
        <v>18000</v>
      </c>
      <c r="F6" s="7"/>
      <c r="G6" s="1"/>
    </row>
    <row r="7" spans="1:11" x14ac:dyDescent="0.25">
      <c r="A7">
        <v>1.4</v>
      </c>
      <c r="B7" t="s">
        <v>2</v>
      </c>
      <c r="C7">
        <v>72</v>
      </c>
      <c r="D7">
        <v>200</v>
      </c>
      <c r="E7" s="1">
        <f>C7*D7</f>
        <v>14400</v>
      </c>
      <c r="F7" s="7"/>
      <c r="G7" s="1"/>
    </row>
    <row r="8" spans="1:11" x14ac:dyDescent="0.25">
      <c r="A8">
        <v>1.5</v>
      </c>
      <c r="B8" t="s">
        <v>3</v>
      </c>
      <c r="C8">
        <v>72</v>
      </c>
      <c r="D8">
        <v>150</v>
      </c>
      <c r="E8" s="1">
        <f>C8*D8</f>
        <v>10800</v>
      </c>
      <c r="F8" s="7"/>
      <c r="G8" s="1"/>
    </row>
    <row r="9" spans="1:11" x14ac:dyDescent="0.25">
      <c r="A9" s="4">
        <v>1.6</v>
      </c>
      <c r="B9" s="4" t="s">
        <v>4</v>
      </c>
      <c r="C9" s="4">
        <v>0</v>
      </c>
      <c r="D9" s="4">
        <v>0</v>
      </c>
      <c r="E9" s="6">
        <f>C9*D9</f>
        <v>0</v>
      </c>
      <c r="F9" s="8"/>
      <c r="G9" s="6"/>
      <c r="H9" s="4"/>
      <c r="I9" s="4"/>
      <c r="J9" s="4"/>
      <c r="K9" s="4"/>
    </row>
    <row r="10" spans="1:11" x14ac:dyDescent="0.25">
      <c r="E10" s="1">
        <f>SUM(E4:E9)</f>
        <v>283200</v>
      </c>
      <c r="F10" s="2"/>
      <c r="G10" s="2">
        <f>SUM(G4:G9)</f>
        <v>133200</v>
      </c>
      <c r="H10">
        <v>100</v>
      </c>
      <c r="I10" s="13">
        <f>SUM(I4:I9)</f>
        <v>5328</v>
      </c>
    </row>
    <row r="11" spans="1:11" x14ac:dyDescent="0.25">
      <c r="E11" s="1"/>
      <c r="F11" s="2"/>
      <c r="G11" s="2"/>
      <c r="I11" s="2"/>
    </row>
    <row r="12" spans="1:11" s="3" customFormat="1" x14ac:dyDescent="0.25">
      <c r="A12" s="10">
        <v>2</v>
      </c>
      <c r="B12" s="5" t="s">
        <v>6</v>
      </c>
      <c r="C12" s="5" t="s">
        <v>10</v>
      </c>
      <c r="D12" s="5" t="s">
        <v>18</v>
      </c>
      <c r="E12" s="5" t="s">
        <v>8</v>
      </c>
      <c r="F12" s="5" t="s">
        <v>11</v>
      </c>
      <c r="G12" s="5" t="s">
        <v>12</v>
      </c>
      <c r="H12" s="5" t="s">
        <v>13</v>
      </c>
      <c r="I12" s="12" t="s">
        <v>14</v>
      </c>
      <c r="J12" s="5" t="s">
        <v>15</v>
      </c>
      <c r="K12" s="5" t="s">
        <v>12</v>
      </c>
    </row>
    <row r="13" spans="1:11" x14ac:dyDescent="0.25">
      <c r="A13">
        <v>2.1</v>
      </c>
      <c r="B13" t="s">
        <v>0</v>
      </c>
      <c r="C13">
        <v>172</v>
      </c>
      <c r="D13">
        <v>300</v>
      </c>
      <c r="E13" s="1">
        <f>C13*D13</f>
        <v>51600</v>
      </c>
      <c r="F13" s="7">
        <v>0.8</v>
      </c>
      <c r="G13" s="2">
        <f>E18*F13</f>
        <v>75840</v>
      </c>
      <c r="H13" s="1">
        <v>25000</v>
      </c>
      <c r="I13" s="2">
        <f>G13-H13</f>
        <v>50840</v>
      </c>
      <c r="J13" s="9">
        <v>1E-3</v>
      </c>
      <c r="K13" s="2">
        <f>I18*J13</f>
        <v>50.84</v>
      </c>
    </row>
    <row r="14" spans="1:11" x14ac:dyDescent="0.25">
      <c r="A14">
        <v>2.2000000000000002</v>
      </c>
      <c r="B14" t="s">
        <v>1</v>
      </c>
      <c r="C14">
        <v>72</v>
      </c>
      <c r="D14">
        <v>250</v>
      </c>
      <c r="E14" s="1">
        <f>C14*D14</f>
        <v>18000</v>
      </c>
    </row>
    <row r="15" spans="1:11" x14ac:dyDescent="0.25">
      <c r="A15">
        <v>2.2999999999999998</v>
      </c>
      <c r="B15" t="s">
        <v>2</v>
      </c>
      <c r="C15">
        <v>72</v>
      </c>
      <c r="D15">
        <v>200</v>
      </c>
      <c r="E15" s="1">
        <f>C15*D15</f>
        <v>14400</v>
      </c>
    </row>
    <row r="16" spans="1:11" x14ac:dyDescent="0.25">
      <c r="A16">
        <v>2.4</v>
      </c>
      <c r="B16" t="s">
        <v>3</v>
      </c>
      <c r="C16">
        <v>72</v>
      </c>
      <c r="D16">
        <v>150</v>
      </c>
      <c r="E16" s="1">
        <f>C16*D16</f>
        <v>10800</v>
      </c>
    </row>
    <row r="17" spans="1:11" x14ac:dyDescent="0.25">
      <c r="A17" s="4">
        <v>2.5</v>
      </c>
      <c r="B17" s="4" t="s">
        <v>4</v>
      </c>
      <c r="C17" s="4">
        <v>0</v>
      </c>
      <c r="D17" s="4">
        <v>0</v>
      </c>
      <c r="E17" s="6">
        <f>C17*D17</f>
        <v>0</v>
      </c>
      <c r="F17" s="4"/>
      <c r="G17" s="4"/>
      <c r="H17" s="4"/>
      <c r="I17" s="4"/>
      <c r="J17" s="4"/>
      <c r="K17" s="4"/>
    </row>
    <row r="18" spans="1:11" x14ac:dyDescent="0.25">
      <c r="E18" s="1">
        <f>SUM(E13:E17)</f>
        <v>94800</v>
      </c>
      <c r="G18" s="2">
        <f>SUM(G13:G17)</f>
        <v>75840</v>
      </c>
      <c r="I18" s="2">
        <f>SUM(I13:I17)</f>
        <v>50840</v>
      </c>
      <c r="K18" s="13">
        <f>SUM(K13:K17)</f>
        <v>50.84</v>
      </c>
    </row>
    <row r="19" spans="1:11" x14ac:dyDescent="0.25">
      <c r="E19" s="1"/>
      <c r="G19" s="2"/>
      <c r="I19" s="2"/>
      <c r="K19" s="13"/>
    </row>
    <row r="20" spans="1:11" s="3" customFormat="1" x14ac:dyDescent="0.25">
      <c r="A20" s="11">
        <v>3</v>
      </c>
      <c r="B20" s="3" t="s">
        <v>23</v>
      </c>
      <c r="C20" s="3" t="s">
        <v>24</v>
      </c>
      <c r="D20" s="3" t="s">
        <v>27</v>
      </c>
      <c r="E20" s="19" t="s">
        <v>25</v>
      </c>
      <c r="F20" s="3" t="s">
        <v>8</v>
      </c>
      <c r="G20" s="3" t="s">
        <v>9</v>
      </c>
      <c r="I20" s="14"/>
      <c r="K20" s="13"/>
    </row>
    <row r="21" spans="1:11" x14ac:dyDescent="0.25">
      <c r="A21">
        <v>3.1</v>
      </c>
      <c r="B21" t="s">
        <v>22</v>
      </c>
      <c r="C21" s="21">
        <f>K18</f>
        <v>50.84</v>
      </c>
      <c r="D21" s="20">
        <v>0.1</v>
      </c>
      <c r="E21" s="22">
        <v>0</v>
      </c>
      <c r="F21" s="28">
        <f>C21*D21</f>
        <v>5.0840000000000005</v>
      </c>
      <c r="G21" s="2"/>
      <c r="I21" s="2"/>
      <c r="K21" s="13"/>
    </row>
    <row r="22" spans="1:11" x14ac:dyDescent="0.25">
      <c r="A22" s="4">
        <v>3.2</v>
      </c>
      <c r="B22" s="4" t="s">
        <v>21</v>
      </c>
      <c r="C22" s="23">
        <f>K18</f>
        <v>50.84</v>
      </c>
      <c r="D22" s="24">
        <v>1.4999999999999999E-2</v>
      </c>
      <c r="E22" s="25">
        <v>4</v>
      </c>
      <c r="F22" s="29">
        <f>C22*D22*E22</f>
        <v>3.0504000000000002</v>
      </c>
      <c r="G22" s="26"/>
      <c r="I22" s="2"/>
      <c r="K22" s="13"/>
    </row>
    <row r="23" spans="1:11" x14ac:dyDescent="0.25">
      <c r="B23" s="3" t="s">
        <v>26</v>
      </c>
      <c r="F23" s="18"/>
      <c r="G23" s="27">
        <f>K18+F21+F22</f>
        <v>58.97440000000001</v>
      </c>
    </row>
    <row r="25" spans="1:11" x14ac:dyDescent="0.25">
      <c r="A25" s="10">
        <v>4</v>
      </c>
      <c r="B25" s="5" t="s">
        <v>17</v>
      </c>
      <c r="C25" s="5" t="s">
        <v>10</v>
      </c>
      <c r="D25" s="5" t="s">
        <v>18</v>
      </c>
      <c r="E25" s="5" t="s">
        <v>8</v>
      </c>
      <c r="F25" s="5" t="s">
        <v>19</v>
      </c>
      <c r="G25" s="5" t="s">
        <v>12</v>
      </c>
      <c r="H25" s="3"/>
      <c r="I25" s="14"/>
      <c r="J25" s="3"/>
      <c r="K25" s="3"/>
    </row>
    <row r="26" spans="1:11" x14ac:dyDescent="0.25">
      <c r="A26">
        <v>3.1</v>
      </c>
      <c r="B26" t="s">
        <v>0</v>
      </c>
      <c r="C26" s="1">
        <v>10000</v>
      </c>
      <c r="D26">
        <v>10</v>
      </c>
      <c r="E26" s="1">
        <f>C26*D26</f>
        <v>100000</v>
      </c>
      <c r="F26" s="7">
        <v>0.02</v>
      </c>
      <c r="G26" s="13">
        <f>E26*F26</f>
        <v>2000</v>
      </c>
    </row>
    <row r="27" spans="1:11" x14ac:dyDescent="0.25">
      <c r="E27" s="1"/>
      <c r="F27" s="7"/>
      <c r="G27" s="13"/>
    </row>
    <row r="28" spans="1:11" x14ac:dyDescent="0.25">
      <c r="A28" s="11">
        <v>5</v>
      </c>
      <c r="B28" s="3" t="s">
        <v>23</v>
      </c>
      <c r="C28" s="3" t="s">
        <v>24</v>
      </c>
      <c r="D28" s="3" t="s">
        <v>27</v>
      </c>
      <c r="E28" s="19" t="s">
        <v>25</v>
      </c>
      <c r="F28" s="3" t="s">
        <v>8</v>
      </c>
      <c r="G28" s="3" t="s">
        <v>9</v>
      </c>
    </row>
    <row r="29" spans="1:11" x14ac:dyDescent="0.25">
      <c r="A29">
        <v>3.1</v>
      </c>
      <c r="B29" t="s">
        <v>22</v>
      </c>
      <c r="C29" s="21">
        <f>G26</f>
        <v>2000</v>
      </c>
      <c r="D29" s="20">
        <v>0.1</v>
      </c>
      <c r="E29" s="22">
        <v>0</v>
      </c>
      <c r="F29" s="28">
        <f>C29*D29</f>
        <v>200</v>
      </c>
      <c r="G29" s="2"/>
    </row>
    <row r="30" spans="1:11" x14ac:dyDescent="0.25">
      <c r="A30" s="4">
        <v>3.2</v>
      </c>
      <c r="B30" s="4" t="s">
        <v>21</v>
      </c>
      <c r="C30" s="23">
        <f>G26</f>
        <v>2000</v>
      </c>
      <c r="D30" s="24">
        <v>1.4999999999999999E-2</v>
      </c>
      <c r="E30" s="25">
        <v>4</v>
      </c>
      <c r="F30" s="29">
        <f>C30*D30*E30</f>
        <v>120</v>
      </c>
      <c r="G30" s="26"/>
    </row>
    <row r="31" spans="1:11" x14ac:dyDescent="0.25">
      <c r="B31" s="3" t="s">
        <v>26</v>
      </c>
      <c r="F31" s="18"/>
      <c r="G31" s="27">
        <f>G26+F29+F30</f>
        <v>2320</v>
      </c>
    </row>
    <row r="32" spans="1:11" x14ac:dyDescent="0.25">
      <c r="B32" s="3"/>
      <c r="F32" s="18"/>
      <c r="G32" s="27"/>
    </row>
    <row r="33" spans="1:3" s="3" customFormat="1" ht="17.25" x14ac:dyDescent="0.4">
      <c r="A33" s="11">
        <v>4</v>
      </c>
      <c r="B33" s="3" t="s">
        <v>30</v>
      </c>
      <c r="C33" s="15">
        <f>I10+G23+G31</f>
        <v>7706.9744000000001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&amp; Penalty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Ponita Chhun</dc:creator>
  <cp:lastModifiedBy>Ponita Chhun</cp:lastModifiedBy>
  <cp:lastPrinted>2025-06-16T00:31:46Z</cp:lastPrinted>
  <dcterms:created xsi:type="dcterms:W3CDTF">2025-06-14T04:18:58Z</dcterms:created>
  <dcterms:modified xsi:type="dcterms:W3CDTF">2026-04-19T09:20:24Z</dcterms:modified>
</cp:coreProperties>
</file>